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ocuments\$MLG\"/>
    </mc:Choice>
  </mc:AlternateContent>
  <xr:revisionPtr revIDLastSave="0" documentId="13_ncr:1_{4AF5CF2E-0539-4010-933F-FE2A7461A0DC}" xr6:coauthVersionLast="47" xr6:coauthVersionMax="47" xr10:uidLastSave="{00000000-0000-0000-0000-000000000000}"/>
  <bookViews>
    <workbookView xWindow="20370" yWindow="-120" windowWidth="29040" windowHeight="15720" xr2:uid="{E681D224-5BC3-40C5-A541-B34CFA6957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0" i="1" l="1"/>
  <c r="J10" i="1"/>
  <c r="J8" i="1"/>
  <c r="K8" i="1" s="1"/>
  <c r="G17" i="1"/>
  <c r="G16" i="1"/>
  <c r="J11" i="1" s="1"/>
  <c r="K11" i="1" s="1"/>
  <c r="G15" i="1"/>
  <c r="J3" i="1" s="1"/>
  <c r="G14" i="1"/>
  <c r="J5" i="1" s="1"/>
  <c r="H3" i="1"/>
  <c r="H4" i="1"/>
  <c r="H5" i="1"/>
  <c r="K5" i="1" s="1"/>
  <c r="H6" i="1"/>
  <c r="H7" i="1"/>
  <c r="H8" i="1"/>
  <c r="H9" i="1"/>
  <c r="H10" i="1"/>
  <c r="H11" i="1"/>
  <c r="H2" i="1"/>
  <c r="K6" i="1" l="1"/>
  <c r="K3" i="1"/>
  <c r="K7" i="1"/>
  <c r="J7" i="1"/>
  <c r="J6" i="1"/>
  <c r="J4" i="1"/>
  <c r="K4" i="1" s="1"/>
  <c r="J2" i="1"/>
  <c r="K2" i="1" s="1"/>
</calcChain>
</file>

<file path=xl/sharedStrings.xml><?xml version="1.0" encoding="utf-8"?>
<sst xmlns="http://schemas.openxmlformats.org/spreadsheetml/2006/main" count="62" uniqueCount="37">
  <si>
    <t>Alex Tavares Fagiotto</t>
  </si>
  <si>
    <t>Ana Beatriz Rocha Ribeiro</t>
  </si>
  <si>
    <t>Lucas Braga Dos Santos</t>
  </si>
  <si>
    <t>Lucas Nascimento Aguiar</t>
  </si>
  <si>
    <t>Maria José Pereira Da Silva</t>
  </si>
  <si>
    <t>Matheus Dos Santos Moreira</t>
  </si>
  <si>
    <t>Renato Rosa Guimarães</t>
  </si>
  <si>
    <t>Ricardo Santana Diniz</t>
  </si>
  <si>
    <t>Sergio Guedes Fraga</t>
  </si>
  <si>
    <t>Thiago Keller Torquato Vicco</t>
  </si>
  <si>
    <t>Projeto</t>
  </si>
  <si>
    <t>Grupo</t>
  </si>
  <si>
    <t>-</t>
  </si>
  <si>
    <t>Conceito</t>
  </si>
  <si>
    <t>scikit-ML</t>
  </si>
  <si>
    <t>scikit-MLP</t>
  </si>
  <si>
    <t>NLP</t>
  </si>
  <si>
    <t>DeepLearning</t>
  </si>
  <si>
    <t>ImgTransfer</t>
  </si>
  <si>
    <t>Exercícios</t>
  </si>
  <si>
    <t>Modelo LLM, 
3p</t>
  </si>
  <si>
    <t>Modelo Supervisionado, 
2p</t>
  </si>
  <si>
    <t>Análise e Comparação dos resultados, 
3p</t>
  </si>
  <si>
    <t>Artigo e Aspecto Geral do Trabalho, 
2p</t>
  </si>
  <si>
    <t>Total</t>
  </si>
  <si>
    <t xml:space="preserve">Fizeram um trabalho excelente e completo. Talvez, única ausência foi uma exploração da explicabilidade das variáveis. No texto, seria interessante deixar claro as duas perguntas tratadas e suas respostas ao leitor (a respostas candidatas, são ilegíveis). Escolheram perguntas com muitas alternativas o que, certamente, dificulta um bom resultado preditivo. Uma alternativa aqui seria agrupar as respostas (por exemplo, prioridades: saúde, segurança e outros). Fizeram bom uso de técnicas como o CV e compararam as distribuições com o JSD, mostrando compreensão de pontos críticos do trabalho. O baixo resultado, não é problema. Empregaram um modelo pequeno (8B) e que é treinado 95% em inglês. Provalmente resultados melhores poderiam ser obtidos com agurapamento das respostas, um modelo maior (entendida a limitação aqui para isso) e até mesmo um modelo nacional como o Sabiá. Fica aí para um próximo trabalho... A apresentação (vídeo) foi excelente. Apenas que aceleraram o vídeo, o que prejudica bastante a compreensão de várias partes. Também achei falta de apresentarem melhor as perguntas tratadas (mostram a P1, mas não a P2 e P3). O texto não tem um referencial teórico, mas isso não foi mesmo pedido, mas caso queiram dar seguimento neste projeto seria um acréscimo necessário. Enfim, um trabalho completo, feito com cuidado e que acredito enriquceu o conhecimento do grupo. </t>
  </si>
  <si>
    <t>O trabalho está bastante completo. O texto, entretanto, melhoraria com alguns ajustes. Por exemplo, ele não apresenta a pergunta P5 as alternativas de resposta, o leitor teria que consultar a base para ter informação, que poderia estar no texto para maior clareza. Os métodos (metodologia) precisariam ser melhor detalhados. Particularmente modelo de prompt, faz parte dos métodos empregados, e aparece em uma seção à parte. Eu sugeriria que estivesse na seção de metodologia (idem para o código). Empregaram validação cruzada, mas não tem maiores detalhes sobre isso. Mas um ponto bastante crítico é que comentam valores pequenos de JSD para o LLM, mas sem apresentarem os valores! A apresentação (vídeo) está boa, mas um pouco superficial e poderia ser um pouco mais técnica. A pergunta (é falada mas não está escrita) e as respostas alvo poderiam constar da apresentação, além de enriquecerem a parte de metodologia. Fizeram um trabalho completo. Os pontos que indico aqui são orientações que que julgo importantes para corrigirem em trabalhos futuros, mas sem grande comprometimento da entrega da atividade.</t>
  </si>
  <si>
    <t>Feedback do Projeto</t>
  </si>
  <si>
    <t>Nota</t>
  </si>
  <si>
    <t xml:space="preserve">Diversos pontos que indico aqui foram comentados diretamente ao Renato no dia da entrega do trabalho. O principal problema é que a entrega não segue a proposta feita na atividade. O comparativo era para ser realizado entre um modelo supervisionado e uma simulação de pesquisa com LLM sem treinamento. Vocês, entretanto, compararam com um modelo LLM (Qwen) treinado sobre os mesmos conjuntos de dados. E, da forma que fizeram, claramente eram esperados resultados semelhantes como, de fato, alcançaram. Não era essa a proposta, o quê foi discutido mais de uma vez em sala. Outros aspectos, também eram indicativos dessa abordagem (além do artigo de referência que não parece ter sido empregado) como a análise de distribuições. Mesmo considerando o modo supervisionado há vários erros sendo o mais crítico de que o trabalho parece treinar não só as respostas à pesquisa de opinião, mas o perfil dos respondentes com 20236 dados para 2000 questionários (ver classification report no notebook), o que não faz sentido, independentemente da atividade proposta. O artigo é bastante superficial – sem apresentação adequado dos dados ou dos métodos. Ponto que julgo positivo, foi terem incluído uma análise de concordância dos modelos (como comum, mas útil). Também não exploram a explicabilidade das variáveis ou as distribuições do aprendizado, e as conclusões, não chegam a ser relevantes já que desviaram da proposta. Também não foi entregue (ou não encontrei) o vídeo de apresentação do projeto. Em resumo, desviaram muito da abordagem da atividade – discutida mais de uma vez em sala, apresentada no enunciado e que no texto (artigo) base indicado – comprometendo em muito o resultado e a avaliação. </t>
  </si>
  <si>
    <t xml:space="preserve">O trabalho diverge da proposta da atividade, principalmente, por não empregar nenhum modelo LLM em seu desenvolvimento. Apenas foi realizado o modelo supervisionado (cuja principal limitação é não ter sido feita uma avaliação cruzada). Em lugar do modelo LLM, foi feita uma simples simulação de respostas randomizadas. O texto (apenas duas páginas) não detatalha métodos ou dados, não estando presente também o vídeo de apresentação que fazia parte da entrega. Enfim, um trabalho bastante incompleto, e que não demonstra conhecimento suficiente do tema principal do curso. A atividade foi discutida mais de uma vez em sala, apresentada no enunciado e que no texto (artigo) base indicado. Entendo que as ausências possam ter prejudicado o entendimento da atividade, mas ao final não chega a um resultado muito satisfitório aqui. </t>
  </si>
  <si>
    <t>C</t>
  </si>
  <si>
    <t>A</t>
  </si>
  <si>
    <t>B</t>
  </si>
  <si>
    <t>Nome</t>
  </si>
  <si>
    <t>RA</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</si>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</sst>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3" x14ac:knownFonts="1">
    <font>
      <sz val="11"/>
      <color theme="1"/>
      <name val="Aptos Narrow"/>
      <family val="2"/>
      <scheme val="minor"/>
    </font>
    <font>
      <b/>
      <sz val="11"/>
      <color theme="1"/>
      <name val="Aptos Narrow"/>
      <family val="2"/>
      <scheme val="minor"/>
    </font>
    <font>
      <sz val="10"/>
      <color rgb="FF1A1A1A"/>
      <name val="Arial"/>
      <family val="2"/>
    </font>
  </fonts>
  <fills count="4">
    <fill>
      <patternFill patternType="none"/>
    </fill>
    <fill>
      <patternFill patternType="gray125"/>
    </fill>
    <fill>
      <patternFill patternType="solid">
        <fgColor rgb="FFFFFFFF"/>
        <bgColor indexed="64"/>
      </patternFill>
    </fill>
    <fill>
      <patternFill patternType="solid">
        <fgColor rgb="FFFBFBFB"/>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168" fontId="0" fillId="0" borderId="0" xfId="0" applyNumberFormat="1" applyAlignment="1">
      <alignment horizontal="center"/>
    </xf>
    <xf numFmtId="0" fontId="0" fillId="0" borderId="2" xfId="0" applyBorder="1" applyAlignment="1">
      <alignment horizontal="center"/>
    </xf>
    <xf numFmtId="168" fontId="0" fillId="0" borderId="2" xfId="0" applyNumberFormat="1" applyBorder="1" applyAlignment="1">
      <alignment horizontal="center"/>
    </xf>
    <xf numFmtId="0" fontId="1" fillId="0" borderId="2" xfId="0" applyFont="1" applyBorder="1" applyAlignment="1">
      <alignment horizontal="center"/>
    </xf>
    <xf numFmtId="0" fontId="1" fillId="0" borderId="2" xfId="0" applyFont="1" applyBorder="1"/>
    <xf numFmtId="0" fontId="1" fillId="0" borderId="2" xfId="0" applyFont="1" applyBorder="1" applyAlignment="1">
      <alignment horizontal="center" wrapText="1"/>
    </xf>
    <xf numFmtId="168" fontId="1" fillId="0" borderId="2" xfId="0" applyNumberFormat="1" applyFont="1" applyBorder="1" applyAlignment="1">
      <alignment horizontal="center"/>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9BBC-0A03-4C76-ACED-93E44AEF5B44}">
  <dimension ref="A1:L17"/>
  <sheetViews>
    <sheetView tabSelected="1" zoomScale="142" zoomScaleNormal="142" workbookViewId="0">
      <selection activeCell="M9" sqref="M9"/>
    </sheetView>
  </sheetViews>
  <sheetFormatPr defaultRowHeight="15" x14ac:dyDescent="0.25"/>
  <cols>
    <col min="1" max="1" width="11.5703125" style="1" bestFit="1" customWidth="1"/>
    <col min="2" max="2" width="31" bestFit="1" customWidth="1"/>
    <col min="3" max="9" width="9.140625" style="1"/>
    <col min="10" max="11" width="9.140625" style="2"/>
    <col min="12" max="12" width="9.140625" style="1"/>
  </cols>
  <sheetData>
    <row r="1" spans="1:12" x14ac:dyDescent="0.25">
      <c r="A1" s="5" t="s">
        <v>35</v>
      </c>
      <c r="B1" s="6" t="s">
        <v>34</v>
      </c>
      <c r="C1" s="5" t="s">
        <v>14</v>
      </c>
      <c r="D1" s="5" t="s">
        <v>15</v>
      </c>
      <c r="E1" s="5" t="s">
        <v>16</v>
      </c>
      <c r="F1" s="5" t="s">
        <v>17</v>
      </c>
      <c r="G1" s="5" t="s">
        <v>18</v>
      </c>
      <c r="H1" s="5" t="s">
        <v>19</v>
      </c>
      <c r="I1" s="5" t="s">
        <v>11</v>
      </c>
      <c r="J1" s="8" t="s">
        <v>10</v>
      </c>
      <c r="K1" s="8" t="s">
        <v>28</v>
      </c>
      <c r="L1" s="5" t="s">
        <v>13</v>
      </c>
    </row>
    <row r="2" spans="1:12" x14ac:dyDescent="0.25">
      <c r="A2" s="9">
        <v>10412127</v>
      </c>
      <c r="B2" s="10" t="s">
        <v>0</v>
      </c>
      <c r="C2" s="1" t="s">
        <v>12</v>
      </c>
      <c r="D2" s="1" t="s">
        <v>12</v>
      </c>
      <c r="E2" s="1" t="s">
        <v>12</v>
      </c>
      <c r="F2" s="1" t="s">
        <v>12</v>
      </c>
      <c r="G2" s="1" t="s">
        <v>12</v>
      </c>
      <c r="H2" s="2">
        <f>SUM(C2:G2)/5*10</f>
        <v>0</v>
      </c>
      <c r="I2" s="1">
        <v>3</v>
      </c>
      <c r="J2" s="2">
        <f>G16</f>
        <v>5</v>
      </c>
      <c r="K2" s="2">
        <f>0.2*H2+0.8*J2</f>
        <v>4</v>
      </c>
      <c r="L2" s="15" t="s">
        <v>31</v>
      </c>
    </row>
    <row r="3" spans="1:12" x14ac:dyDescent="0.25">
      <c r="A3" s="11">
        <v>10227130</v>
      </c>
      <c r="B3" s="12" t="s">
        <v>1</v>
      </c>
      <c r="C3" s="1">
        <v>1</v>
      </c>
      <c r="D3" s="1">
        <v>1</v>
      </c>
      <c r="E3" s="1">
        <v>1</v>
      </c>
      <c r="F3" s="1">
        <v>1</v>
      </c>
      <c r="G3" s="1">
        <v>1</v>
      </c>
      <c r="H3" s="2">
        <f t="shared" ref="H3:H11" si="0">SUM(C3:G3)/5*10</f>
        <v>10</v>
      </c>
      <c r="I3" s="1">
        <v>3</v>
      </c>
      <c r="J3" s="2">
        <f>G15</f>
        <v>10</v>
      </c>
      <c r="K3" s="2">
        <f t="shared" ref="K3:K11" si="1">0.2*H3+0.8*J3</f>
        <v>10</v>
      </c>
      <c r="L3" s="15" t="s">
        <v>32</v>
      </c>
    </row>
    <row r="4" spans="1:12" x14ac:dyDescent="0.25">
      <c r="A4" s="13">
        <v>10779364</v>
      </c>
      <c r="B4" s="14" t="s">
        <v>2</v>
      </c>
      <c r="C4" s="1">
        <v>1</v>
      </c>
      <c r="D4" s="1">
        <v>1</v>
      </c>
      <c r="E4" s="1">
        <v>1</v>
      </c>
      <c r="F4" s="1">
        <v>1</v>
      </c>
      <c r="G4" s="1">
        <v>1</v>
      </c>
      <c r="H4" s="2">
        <f t="shared" si="0"/>
        <v>10</v>
      </c>
      <c r="I4" s="1">
        <v>1</v>
      </c>
      <c r="J4" s="2">
        <f>G16</f>
        <v>5</v>
      </c>
      <c r="K4" s="2">
        <f t="shared" si="1"/>
        <v>6</v>
      </c>
      <c r="L4" s="15" t="s">
        <v>33</v>
      </c>
    </row>
    <row r="5" spans="1:12" x14ac:dyDescent="0.25">
      <c r="A5" s="11">
        <v>10766622</v>
      </c>
      <c r="B5" s="12" t="s">
        <v>3</v>
      </c>
      <c r="C5" s="1">
        <v>1</v>
      </c>
      <c r="D5" s="1">
        <v>1</v>
      </c>
      <c r="E5" s="1">
        <v>1</v>
      </c>
      <c r="F5" s="1">
        <v>1</v>
      </c>
      <c r="G5" s="1">
        <v>1</v>
      </c>
      <c r="H5" s="2">
        <f t="shared" si="0"/>
        <v>10</v>
      </c>
      <c r="I5" s="1">
        <v>1</v>
      </c>
      <c r="J5" s="2">
        <f>G14</f>
        <v>10</v>
      </c>
      <c r="K5" s="2">
        <f t="shared" si="1"/>
        <v>10</v>
      </c>
      <c r="L5" s="15" t="s">
        <v>32</v>
      </c>
    </row>
    <row r="6" spans="1:12" x14ac:dyDescent="0.25">
      <c r="A6" s="13">
        <v>10385531</v>
      </c>
      <c r="B6" s="14" t="s">
        <v>4</v>
      </c>
      <c r="C6" s="1">
        <v>1</v>
      </c>
      <c r="D6" s="1">
        <v>1</v>
      </c>
      <c r="E6" s="1">
        <v>1</v>
      </c>
      <c r="F6" s="1">
        <v>1</v>
      </c>
      <c r="G6" s="1">
        <v>1</v>
      </c>
      <c r="H6" s="2">
        <f t="shared" si="0"/>
        <v>10</v>
      </c>
      <c r="I6" s="1">
        <v>2</v>
      </c>
      <c r="J6" s="2">
        <f>G15</f>
        <v>10</v>
      </c>
      <c r="K6" s="2">
        <f t="shared" si="1"/>
        <v>10</v>
      </c>
      <c r="L6" s="15" t="s">
        <v>32</v>
      </c>
    </row>
    <row r="7" spans="1:12" x14ac:dyDescent="0.25">
      <c r="A7" s="11">
        <v>10779362</v>
      </c>
      <c r="B7" s="12" t="s">
        <v>5</v>
      </c>
      <c r="C7" s="1">
        <v>1</v>
      </c>
      <c r="D7" s="1">
        <v>1</v>
      </c>
      <c r="E7" s="1">
        <v>1</v>
      </c>
      <c r="F7" s="1">
        <v>1</v>
      </c>
      <c r="G7" s="1">
        <v>1</v>
      </c>
      <c r="H7" s="2">
        <f t="shared" si="0"/>
        <v>10</v>
      </c>
      <c r="I7" s="1">
        <v>1</v>
      </c>
      <c r="J7" s="2">
        <f>G14</f>
        <v>10</v>
      </c>
      <c r="K7" s="2">
        <f t="shared" si="1"/>
        <v>10</v>
      </c>
      <c r="L7" s="15" t="s">
        <v>32</v>
      </c>
    </row>
    <row r="8" spans="1:12" x14ac:dyDescent="0.25">
      <c r="A8" s="13">
        <v>10766616</v>
      </c>
      <c r="B8" s="14" t="s">
        <v>6</v>
      </c>
      <c r="C8" s="1">
        <v>1</v>
      </c>
      <c r="D8" s="1" t="s">
        <v>12</v>
      </c>
      <c r="E8" s="1" t="s">
        <v>12</v>
      </c>
      <c r="F8" s="1" t="s">
        <v>12</v>
      </c>
      <c r="G8" s="1" t="s">
        <v>12</v>
      </c>
      <c r="H8" s="2">
        <f t="shared" si="0"/>
        <v>2</v>
      </c>
      <c r="I8" s="1">
        <v>3</v>
      </c>
      <c r="J8" s="2">
        <f>G16</f>
        <v>5</v>
      </c>
      <c r="K8" s="2">
        <f t="shared" si="1"/>
        <v>4.4000000000000004</v>
      </c>
      <c r="L8" s="15" t="s">
        <v>31</v>
      </c>
    </row>
    <row r="9" spans="1:12" x14ac:dyDescent="0.25">
      <c r="A9" s="11">
        <v>10766617</v>
      </c>
      <c r="B9" s="12" t="s">
        <v>7</v>
      </c>
      <c r="C9" s="1" t="s">
        <v>12</v>
      </c>
      <c r="D9" s="1" t="s">
        <v>12</v>
      </c>
      <c r="E9" s="1" t="s">
        <v>12</v>
      </c>
      <c r="F9" s="1" t="s">
        <v>12</v>
      </c>
      <c r="G9" s="1" t="s">
        <v>12</v>
      </c>
      <c r="H9" s="2">
        <f t="shared" si="0"/>
        <v>0</v>
      </c>
      <c r="I9" s="1" t="s">
        <v>12</v>
      </c>
      <c r="J9" s="2" t="s">
        <v>12</v>
      </c>
      <c r="K9" s="2">
        <v>0</v>
      </c>
      <c r="L9" s="15" t="s">
        <v>36</v>
      </c>
    </row>
    <row r="10" spans="1:12" x14ac:dyDescent="0.25">
      <c r="A10" s="13">
        <v>10411459</v>
      </c>
      <c r="B10" s="14" t="s">
        <v>8</v>
      </c>
      <c r="C10" s="1">
        <v>1</v>
      </c>
      <c r="D10" s="1">
        <v>1</v>
      </c>
      <c r="E10" s="1">
        <v>1</v>
      </c>
      <c r="F10" s="1">
        <v>1</v>
      </c>
      <c r="G10" s="1">
        <v>1</v>
      </c>
      <c r="H10" s="2">
        <f t="shared" si="0"/>
        <v>10</v>
      </c>
      <c r="I10" s="1">
        <v>4</v>
      </c>
      <c r="J10" s="2">
        <f>G17</f>
        <v>3</v>
      </c>
      <c r="K10" s="2">
        <f t="shared" si="1"/>
        <v>4.4000000000000004</v>
      </c>
      <c r="L10" s="15" t="s">
        <v>31</v>
      </c>
    </row>
    <row r="11" spans="1:12" x14ac:dyDescent="0.25">
      <c r="A11" s="11">
        <v>10779365</v>
      </c>
      <c r="B11" s="12" t="s">
        <v>9</v>
      </c>
      <c r="C11" s="3">
        <v>1</v>
      </c>
      <c r="D11" s="3">
        <v>0</v>
      </c>
      <c r="E11" s="3" t="s">
        <v>12</v>
      </c>
      <c r="F11" s="3" t="s">
        <v>12</v>
      </c>
      <c r="G11" s="3" t="s">
        <v>12</v>
      </c>
      <c r="H11" s="4">
        <f t="shared" si="0"/>
        <v>2</v>
      </c>
      <c r="I11" s="3">
        <v>3</v>
      </c>
      <c r="J11" s="4">
        <f>G16</f>
        <v>5</v>
      </c>
      <c r="K11" s="4">
        <f t="shared" si="1"/>
        <v>4.4000000000000004</v>
      </c>
      <c r="L11" s="5" t="s">
        <v>31</v>
      </c>
    </row>
    <row r="13" spans="1:12" ht="90" x14ac:dyDescent="0.25">
      <c r="A13" s="5" t="s">
        <v>11</v>
      </c>
      <c r="B13" s="6" t="s">
        <v>27</v>
      </c>
      <c r="C13" s="7" t="s">
        <v>20</v>
      </c>
      <c r="D13" s="7" t="s">
        <v>21</v>
      </c>
      <c r="E13" s="7" t="s">
        <v>22</v>
      </c>
      <c r="F13" s="7" t="s">
        <v>23</v>
      </c>
      <c r="G13" s="5" t="s">
        <v>24</v>
      </c>
      <c r="H13" s="3"/>
      <c r="I13" s="3"/>
      <c r="J13" s="4"/>
      <c r="K13" s="4"/>
      <c r="L13" s="3"/>
    </row>
    <row r="14" spans="1:12" x14ac:dyDescent="0.25">
      <c r="A14" s="1">
        <v>1</v>
      </c>
      <c r="B14" t="s">
        <v>25</v>
      </c>
      <c r="C14" s="2">
        <v>3</v>
      </c>
      <c r="D14" s="2">
        <v>2</v>
      </c>
      <c r="E14" s="2">
        <v>3</v>
      </c>
      <c r="F14" s="2">
        <v>2</v>
      </c>
      <c r="G14" s="2">
        <f>SUM(C14:F14)</f>
        <v>10</v>
      </c>
    </row>
    <row r="15" spans="1:12" x14ac:dyDescent="0.25">
      <c r="A15" s="1">
        <v>2</v>
      </c>
      <c r="B15" t="s">
        <v>26</v>
      </c>
      <c r="C15" s="2">
        <v>3</v>
      </c>
      <c r="D15" s="2">
        <v>2</v>
      </c>
      <c r="E15" s="2">
        <v>3</v>
      </c>
      <c r="F15" s="2">
        <v>2</v>
      </c>
      <c r="G15" s="2">
        <f>SUM(C15:F15)</f>
        <v>10</v>
      </c>
    </row>
    <row r="16" spans="1:12" x14ac:dyDescent="0.25">
      <c r="A16" s="1">
        <v>3</v>
      </c>
      <c r="B16" t="s">
        <v>29</v>
      </c>
      <c r="C16" s="2">
        <v>0.5</v>
      </c>
      <c r="D16" s="2">
        <v>1.5</v>
      </c>
      <c r="E16" s="2">
        <v>2</v>
      </c>
      <c r="F16" s="2">
        <v>1</v>
      </c>
      <c r="G16" s="2">
        <f>SUM(C16:F16)</f>
        <v>5</v>
      </c>
    </row>
    <row r="17" spans="1:7" x14ac:dyDescent="0.25">
      <c r="A17" s="1">
        <v>4</v>
      </c>
      <c r="B17" t="s">
        <v>30</v>
      </c>
      <c r="C17" s="2">
        <v>0</v>
      </c>
      <c r="D17" s="2">
        <v>1.5</v>
      </c>
      <c r="E17" s="2">
        <v>1</v>
      </c>
      <c r="F17" s="2">
        <v>0.5</v>
      </c>
      <c r="G17" s="2">
        <f>SUM(C17:F17)</f>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ROGERIO DE OLIVEIRA</dc:creator>
  <cp:lastModifiedBy>ROGERIO DE OLIVEIRA</cp:lastModifiedBy>
  <dcterms:created xsi:type="dcterms:W3CDTF">2026-05-04T14:10:32Z</dcterms:created>
  <dcterms:modified xsi:type="dcterms:W3CDTF">2026-05-04T18:19:27Z</dcterms:modified>
</cp:coreProperties>
</file>